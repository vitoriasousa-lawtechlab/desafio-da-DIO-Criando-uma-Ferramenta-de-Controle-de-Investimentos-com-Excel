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showInkAnnotation="0" autoCompressPictures="0"/>
  <xr:revisionPtr revIDLastSave="0" documentId="8_{C112A8A6-5B85-4012-8E76-0B2705349830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Simulador" sheetId="1" r:id="rId1"/>
    <sheet name="Bases Perfi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5" i="1"/>
  <c r="C34" i="1"/>
  <c r="C33" i="1"/>
  <c r="C32" i="1"/>
  <c r="C31" i="1"/>
  <c r="D28" i="1"/>
  <c r="C23" i="1"/>
  <c r="D23" i="1" s="1"/>
  <c r="C22" i="1"/>
  <c r="D22" i="1" s="1"/>
  <c r="C21" i="1"/>
  <c r="D21" i="1" s="1"/>
  <c r="C20" i="1"/>
  <c r="D20" i="1" s="1"/>
  <c r="C19" i="1"/>
  <c r="D19" i="1" s="1"/>
  <c r="D13" i="1"/>
  <c r="D14" i="1" s="1"/>
  <c r="D7" i="1"/>
  <c r="D31" i="1" l="1"/>
  <c r="D32" i="1"/>
  <c r="D33" i="1"/>
  <c r="D34" i="1"/>
  <c r="D35" i="1"/>
  <c r="D36" i="1"/>
  <c r="D37" i="1" l="1"/>
</calcChain>
</file>

<file path=xl/sharedStrings.xml><?xml version="1.0" encoding="utf-8"?>
<sst xmlns="http://schemas.openxmlformats.org/spreadsheetml/2006/main" count="86" uniqueCount="49">
  <si>
    <t>SIMULADOR DE INVESTIMENTOS EM FIIs</t>
  </si>
  <si>
    <t>CONFIGURAÇÕES</t>
  </si>
  <si>
    <t>Salário mensal</t>
  </si>
  <si>
    <t>Rendimento da carteira ao mês</t>
  </si>
  <si>
    <t>Sugestão de investimento (30%)</t>
  </si>
  <si>
    <t>INVESTIMENTO MENSAL</t>
  </si>
  <si>
    <t>Quanto investir por mês?</t>
  </si>
  <si>
    <t>Por quantos anos?</t>
  </si>
  <si>
    <t>Taxa de rendimento mensal?</t>
  </si>
  <si>
    <t>Patrimônio acumulado</t>
  </si>
  <si>
    <t>Dividendos mensais estimados</t>
  </si>
  <si>
    <t>CENÁRIOS DE INVESTIMENTO</t>
  </si>
  <si>
    <t>Prazo</t>
  </si>
  <si>
    <t>Dividendos/mês</t>
  </si>
  <si>
    <t>DISTRIBUIÇÃO POR PERFIL</t>
  </si>
  <si>
    <t>Perfil do investidor</t>
  </si>
  <si>
    <t>Agressivo</t>
  </si>
  <si>
    <t>Valor investido por mês</t>
  </si>
  <si>
    <t>Tipo de FII</t>
  </si>
  <si>
    <t>Percentual</t>
  </si>
  <si>
    <t>Valor mensal</t>
  </si>
  <si>
    <t>Papel</t>
  </si>
  <si>
    <t>Tijolo</t>
  </si>
  <si>
    <t>Híbridos</t>
  </si>
  <si>
    <t>FOFs</t>
  </si>
  <si>
    <t>Desenvolvimento</t>
  </si>
  <si>
    <t>Hotelarias</t>
  </si>
  <si>
    <t>Chave</t>
  </si>
  <si>
    <t>Perfil</t>
  </si>
  <si>
    <t>Conservador|Papel</t>
  </si>
  <si>
    <t>Conservador</t>
  </si>
  <si>
    <t>Conservador|Tijolo</t>
  </si>
  <si>
    <t>Conservador|Híbridos</t>
  </si>
  <si>
    <t>Conservador|FOFs</t>
  </si>
  <si>
    <t>Conservador|Desenvolvimento</t>
  </si>
  <si>
    <t>Conservador|Hotelarias</t>
  </si>
  <si>
    <t>Moderado|Papel</t>
  </si>
  <si>
    <t>Moderado</t>
  </si>
  <si>
    <t>Moderado|Tijolo</t>
  </si>
  <si>
    <t>Moderado|Híbridos</t>
  </si>
  <si>
    <t>Moderado|FOFs</t>
  </si>
  <si>
    <t>Moderado|Desenvolvimento</t>
  </si>
  <si>
    <t>Moderado|Hotelarias</t>
  </si>
  <si>
    <t>Agressivo|Papel</t>
  </si>
  <si>
    <t>Agressivo|Tijolo</t>
  </si>
  <si>
    <t>Agressivo|Híbridos</t>
  </si>
  <si>
    <t>Agressivo|FOFs</t>
  </si>
  <si>
    <t>Agressivo|Desenvolvimento</t>
  </si>
  <si>
    <t>Agressivo|Hotelarias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</si>
</sst>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7">
    <font>
      <sz val="11"/>
      <name val="Carlito"/>
    </font>
    <font>
      <b/>
      <sz val="14"/>
      <color rgb="FFFFFFFF"/>
      <name val="Calibri"/>
      <scheme val="minor"/>
    </font>
    <font>
      <sz val="11"/>
      <name val="Calibri"/>
      <scheme val="minor"/>
    </font>
    <font>
      <b/>
      <sz val="11"/>
      <color rgb="FFFFFFFF"/>
      <name val="Calibri"/>
      <scheme val="minor"/>
    </font>
    <font>
      <b/>
      <sz val="11"/>
      <color rgb="FF26354A"/>
      <name val="Calibri"/>
      <scheme val="minor"/>
    </font>
    <font>
      <b/>
      <sz val="11"/>
      <name val="Calibri"/>
      <scheme val="minor"/>
    </font>
    <font>
      <sz val="11"/>
      <color rgb="FF64748B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6354A"/>
      </patternFill>
    </fill>
    <fill>
      <patternFill patternType="solid">
        <fgColor rgb="FFFFF1C7"/>
      </patternFill>
    </fill>
    <fill>
      <patternFill patternType="solid">
        <fgColor rgb="FFE5E7EB"/>
      </patternFill>
    </fill>
    <fill>
      <patternFill patternType="solid">
        <fgColor rgb="FFE8ED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2" borderId="1" xfId="0" applyNumberFormat="1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/>
    </xf>
    <xf numFmtId="0" fontId="4" fillId="5" borderId="1" xfId="0" applyNumberFormat="1" applyFont="1" applyFill="1" applyBorder="1" applyAlignment="1">
      <alignment vertical="center"/>
    </xf>
    <xf numFmtId="0" fontId="5" fillId="3" borderId="1" xfId="0" applyNumberFormat="1" applyFont="1" applyFill="1" applyBorder="1" applyAlignment="1">
      <alignment vertical="center"/>
    </xf>
    <xf numFmtId="10" fontId="2" fillId="4" borderId="1" xfId="0" applyNumberFormat="1" applyFont="1" applyFill="1" applyBorder="1" applyAlignment="1">
      <alignment vertical="center"/>
    </xf>
    <xf numFmtId="10" fontId="4" fillId="5" borderId="1" xfId="0" applyNumberFormat="1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vertical="center"/>
    </xf>
    <xf numFmtId="0" fontId="2" fillId="0" borderId="2" xfId="0" applyFont="1" applyBorder="1"/>
    <xf numFmtId="0" fontId="2" fillId="0" borderId="1" xfId="0" applyFont="1" applyBorder="1"/>
    <xf numFmtId="9" fontId="2" fillId="0" borderId="1" xfId="0" applyNumberFormat="1" applyFont="1" applyFill="1" applyBorder="1" applyAlignment="1">
      <alignment horizontal="center"/>
    </xf>
    <xf numFmtId="9" fontId="2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Simulador!$C$30</c:f>
              <c:strCache>
                <c:ptCount val="1"/>
                <c:pt idx="0">
                  <c:v>Percentual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1B-4C93-B791-032BCE39F3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1B-4C93-B791-032BCE39F3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1B-4C93-B791-032BCE39F3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01B-4C93-B791-032BCE39F3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01B-4C93-B791-032BCE39F3C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01B-4C93-B791-032BCE39F3C5}"/>
              </c:ext>
            </c:extLst>
          </c:dPt>
          <c:cat>
            <c:strRef>
              <c:f>Simulador!$B$31:$B$36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Simulador!$C$31:$C$36</c:f>
              <c:numCache>
                <c:formatCode>0.00%</c:formatCode>
                <c:ptCount val="6"/>
                <c:pt idx="0">
                  <c:v>0.2</c:v>
                </c:pt>
                <c:pt idx="1">
                  <c:v>0.25</c:v>
                </c:pt>
                <c:pt idx="2">
                  <c:v>0.15</c:v>
                </c:pt>
                <c:pt idx="3">
                  <c:v>0.1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E-49CA-AD78-8195DDE67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37</xdr:row>
      <xdr:rowOff>171450</xdr:rowOff>
    </xdr:from>
    <xdr:to>
      <xdr:col>3</xdr:col>
      <xdr:colOff>342900</xdr:colOff>
      <xdr:row>52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AE19B8D-2EC8-BB76-9FB5-97374E5B5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7"/>
  <sheetViews>
    <sheetView showGridLines="0" tabSelected="1" topLeftCell="A21" zoomScaleNormal="100" zoomScaleSheetLayoutView="100" workbookViewId="0">
      <selection activeCell="B7" sqref="B7"/>
    </sheetView>
  </sheetViews>
  <sheetFormatPr defaultColWidth="0" defaultRowHeight="15"/>
  <cols>
    <col min="1" max="1" width="7" style="2" customWidth="1"/>
    <col min="2" max="2" width="38" style="2" customWidth="1"/>
    <col min="3" max="3" width="20" style="2" customWidth="1"/>
    <col min="4" max="4" width="21" style="2" customWidth="1"/>
    <col min="5" max="5" width="4" style="2" customWidth="1"/>
    <col min="6" max="6" width="9" style="2" customWidth="1"/>
    <col min="7" max="16384" width="0" style="2" hidden="1"/>
  </cols>
  <sheetData>
    <row r="2" spans="2:4" ht="36" customHeight="1">
      <c r="B2" s="14" t="s">
        <v>0</v>
      </c>
      <c r="C2" s="14"/>
      <c r="D2" s="14"/>
    </row>
    <row r="4" spans="2:4" ht="24.95" customHeight="1">
      <c r="B4" s="15" t="s">
        <v>1</v>
      </c>
      <c r="C4" s="15"/>
      <c r="D4" s="15"/>
    </row>
    <row r="5" spans="2:4">
      <c r="B5" s="2" t="s">
        <v>2</v>
      </c>
      <c r="D5" s="4">
        <v>5000</v>
      </c>
    </row>
    <row r="6" spans="2:4">
      <c r="B6" s="2" t="s">
        <v>3</v>
      </c>
      <c r="D6" s="5">
        <v>6.0000000000000001E-3</v>
      </c>
    </row>
    <row r="7" spans="2:4">
      <c r="B7" s="2" t="s">
        <v>4</v>
      </c>
      <c r="D7" s="6">
        <f>D5*30%</f>
        <v>1500</v>
      </c>
    </row>
    <row r="9" spans="2:4" ht="24.95" customHeight="1">
      <c r="B9" s="15" t="s">
        <v>5</v>
      </c>
      <c r="C9" s="15"/>
      <c r="D9" s="15"/>
    </row>
    <row r="10" spans="2:4">
      <c r="B10" s="2" t="s">
        <v>6</v>
      </c>
      <c r="D10" s="4">
        <v>550</v>
      </c>
    </row>
    <row r="11" spans="2:4">
      <c r="B11" s="2" t="s">
        <v>7</v>
      </c>
      <c r="D11" s="7">
        <v>5</v>
      </c>
    </row>
    <row r="12" spans="2:4">
      <c r="B12" s="2" t="s">
        <v>8</v>
      </c>
      <c r="D12" s="5">
        <v>6.0000000000000001E-3</v>
      </c>
    </row>
    <row r="13" spans="2:4">
      <c r="B13" s="2" t="s">
        <v>9</v>
      </c>
      <c r="D13" s="6">
        <f>FV(D12,D11*12,-D10,0,0)</f>
        <v>39580.604435272158</v>
      </c>
    </row>
    <row r="14" spans="2:4">
      <c r="B14" s="2" t="s">
        <v>10</v>
      </c>
      <c r="D14" s="6">
        <f>D13*D6</f>
        <v>237.48362661163296</v>
      </c>
    </row>
    <row r="17" spans="2:4" ht="24.95" customHeight="1">
      <c r="B17" s="15" t="s">
        <v>11</v>
      </c>
      <c r="C17" s="15"/>
      <c r="D17" s="15"/>
    </row>
    <row r="18" spans="2:4" ht="23.1" customHeight="1">
      <c r="B18" s="8" t="s">
        <v>12</v>
      </c>
      <c r="C18" s="8" t="s">
        <v>9</v>
      </c>
      <c r="D18" s="8" t="s">
        <v>13</v>
      </c>
    </row>
    <row r="19" spans="2:4">
      <c r="B19" s="2">
        <v>2</v>
      </c>
      <c r="C19" s="6">
        <f>FV($D$12,B19*12,-$D$10,0,0)</f>
        <v>14152.168450287129</v>
      </c>
      <c r="D19" s="6">
        <f>C19*$D$6</f>
        <v>84.913010701722769</v>
      </c>
    </row>
    <row r="20" spans="2:4">
      <c r="B20" s="2">
        <v>5</v>
      </c>
      <c r="C20" s="6">
        <f>FV($D$12,B20*12,-$D$10,0,0)</f>
        <v>39580.604435272158</v>
      </c>
      <c r="D20" s="6">
        <f>C20*$D$6</f>
        <v>237.48362661163296</v>
      </c>
    </row>
    <row r="21" spans="2:4">
      <c r="B21" s="2">
        <v>10</v>
      </c>
      <c r="C21" s="6">
        <f>FV($D$12,B21*12,-$D$10,0,0)</f>
        <v>96251.65520648782</v>
      </c>
      <c r="D21" s="6">
        <f>C21*$D$6</f>
        <v>577.50993123892692</v>
      </c>
    </row>
    <row r="22" spans="2:4">
      <c r="B22" s="2">
        <v>20</v>
      </c>
      <c r="C22" s="6">
        <f>FV($D$12,B22*12,-$D$10,0,0)</f>
        <v>293569.2863764877</v>
      </c>
      <c r="D22" s="6">
        <f>C22*$D$6</f>
        <v>1761.4157182589263</v>
      </c>
    </row>
    <row r="23" spans="2:4">
      <c r="B23" s="2">
        <v>30</v>
      </c>
      <c r="C23" s="6">
        <f>FV($D$12,B23*12,-$D$10,0,0)</f>
        <v>698073.9931996048</v>
      </c>
      <c r="D23" s="6">
        <f>C23*$D$6</f>
        <v>4188.4439591976288</v>
      </c>
    </row>
    <row r="26" spans="2:4" ht="24.95" customHeight="1">
      <c r="B26" s="15" t="s">
        <v>14</v>
      </c>
      <c r="C26" s="15"/>
      <c r="D26" s="15"/>
    </row>
    <row r="27" spans="2:4">
      <c r="B27" s="2" t="s">
        <v>15</v>
      </c>
      <c r="C27" s="9" t="s">
        <v>16</v>
      </c>
    </row>
    <row r="28" spans="2:4">
      <c r="B28" s="2" t="s">
        <v>17</v>
      </c>
      <c r="D28" s="6">
        <f>D10</f>
        <v>550</v>
      </c>
    </row>
    <row r="30" spans="2:4" ht="23.1" customHeight="1">
      <c r="B30" s="8" t="s">
        <v>18</v>
      </c>
      <c r="C30" s="8" t="s">
        <v>19</v>
      </c>
      <c r="D30" s="8" t="s">
        <v>20</v>
      </c>
    </row>
    <row r="31" spans="2:4">
      <c r="B31" s="2" t="s">
        <v>21</v>
      </c>
      <c r="C31" s="10">
        <f>VLOOKUP($C$27&amp;"|"&amp;B31,'Bases Perfis'!$A$2:$D$19,4,FALSE)</f>
        <v>0.2</v>
      </c>
      <c r="D31" s="6">
        <f>C31*$D$28</f>
        <v>110</v>
      </c>
    </row>
    <row r="32" spans="2:4">
      <c r="B32" s="2" t="s">
        <v>22</v>
      </c>
      <c r="C32" s="10">
        <f>VLOOKUP($C$27&amp;"|"&amp;B32,'Bases Perfis'!$A$2:$D$19,4,FALSE)</f>
        <v>0.25</v>
      </c>
      <c r="D32" s="6">
        <f>C32*$D$28</f>
        <v>137.5</v>
      </c>
    </row>
    <row r="33" spans="2:9">
      <c r="B33" s="2" t="s">
        <v>23</v>
      </c>
      <c r="C33" s="10">
        <f>VLOOKUP($C$27&amp;"|"&amp;B33,'Bases Perfis'!$A$2:$D$19,4,FALSE)</f>
        <v>0.15</v>
      </c>
      <c r="D33" s="6">
        <f>C33*$D$28</f>
        <v>82.5</v>
      </c>
    </row>
    <row r="34" spans="2:9">
      <c r="B34" s="2" t="s">
        <v>24</v>
      </c>
      <c r="C34" s="10">
        <f>VLOOKUP($C$27&amp;"|"&amp;B34,'Bases Perfis'!$A$2:$D$19,4,FALSE)</f>
        <v>0.1</v>
      </c>
      <c r="D34" s="6">
        <f>C34*$D$28</f>
        <v>55</v>
      </c>
    </row>
    <row r="35" spans="2:9">
      <c r="B35" s="2" t="s">
        <v>25</v>
      </c>
      <c r="C35" s="10">
        <f>VLOOKUP($C$27&amp;"|"&amp;B35,'Bases Perfis'!$A$2:$D$19,4,FALSE)</f>
        <v>0.2</v>
      </c>
      <c r="D35" s="6">
        <f>C35*$D$28</f>
        <v>110</v>
      </c>
      <c r="G35" s="13"/>
      <c r="H35" s="13"/>
      <c r="I35" s="13"/>
    </row>
    <row r="36" spans="2:9">
      <c r="B36" s="2" t="s">
        <v>26</v>
      </c>
      <c r="C36" s="10">
        <f>VLOOKUP($C$27&amp;"|"&amp;B36,'Bases Perfis'!$A$2:$D$19,4,FALSE)</f>
        <v>0.1</v>
      </c>
      <c r="D36" s="6">
        <f>C36*$D$28</f>
        <v>55</v>
      </c>
    </row>
    <row r="37" spans="2:9">
      <c r="B37" s="8"/>
      <c r="C37" s="11"/>
      <c r="D37" s="12">
        <f>SUM(D31:D36)</f>
        <v>550</v>
      </c>
    </row>
  </sheetData>
  <mergeCells count="6">
    <mergeCell ref="G35:I35"/>
    <mergeCell ref="B2:D2"/>
    <mergeCell ref="B4:D4"/>
    <mergeCell ref="B9:D9"/>
    <mergeCell ref="B17:D17"/>
    <mergeCell ref="B26:D26"/>
  </mergeCells>
  <dataValidations count="1">
    <dataValidation type="list" sqref="C27" xr:uid="{00000000-0002-0000-0000-000000000000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zoomScaleNormal="100" zoomScaleSheetLayoutView="100" workbookViewId="0">
      <selection activeCell="I16" sqref="I16"/>
    </sheetView>
  </sheetViews>
  <sheetFormatPr defaultRowHeight="15"/>
  <cols>
    <col min="1" max="1" width="31" style="1" customWidth="1"/>
    <col min="2" max="2" width="19" style="1" customWidth="1"/>
    <col min="3" max="3" width="22" style="1" customWidth="1"/>
    <col min="4" max="4" width="16" style="1" customWidth="1"/>
    <col min="5" max="16384" width="9" style="1"/>
  </cols>
  <sheetData>
    <row r="1" spans="1:4" s="2" customFormat="1" ht="27" customHeight="1">
      <c r="A1" s="3" t="s">
        <v>27</v>
      </c>
      <c r="B1" s="3" t="s">
        <v>28</v>
      </c>
      <c r="C1" s="3" t="s">
        <v>18</v>
      </c>
      <c r="D1" s="3" t="s">
        <v>19</v>
      </c>
    </row>
    <row r="2" spans="1:4">
      <c r="A2" s="1" t="s">
        <v>29</v>
      </c>
      <c r="B2" s="1" t="s">
        <v>30</v>
      </c>
      <c r="C2" s="1" t="s">
        <v>21</v>
      </c>
      <c r="D2" s="18">
        <v>0.4</v>
      </c>
    </row>
    <row r="3" spans="1:4">
      <c r="A3" s="1" t="s">
        <v>31</v>
      </c>
      <c r="B3" s="1" t="s">
        <v>30</v>
      </c>
      <c r="C3" s="1" t="s">
        <v>22</v>
      </c>
      <c r="D3" s="18">
        <v>0.35</v>
      </c>
    </row>
    <row r="4" spans="1:4">
      <c r="A4" s="1" t="s">
        <v>32</v>
      </c>
      <c r="B4" s="1" t="s">
        <v>30</v>
      </c>
      <c r="C4" s="1" t="s">
        <v>23</v>
      </c>
      <c r="D4" s="18">
        <v>0.1</v>
      </c>
    </row>
    <row r="5" spans="1:4">
      <c r="A5" s="1" t="s">
        <v>33</v>
      </c>
      <c r="B5" s="1" t="s">
        <v>30</v>
      </c>
      <c r="C5" s="1" t="s">
        <v>24</v>
      </c>
      <c r="D5" s="18">
        <v>0.1</v>
      </c>
    </row>
    <row r="6" spans="1:4">
      <c r="A6" s="1" t="s">
        <v>34</v>
      </c>
      <c r="B6" s="1" t="s">
        <v>30</v>
      </c>
      <c r="C6" s="1" t="s">
        <v>25</v>
      </c>
      <c r="D6" s="18">
        <v>0.03</v>
      </c>
    </row>
    <row r="7" spans="1:4">
      <c r="A7" s="16" t="s">
        <v>35</v>
      </c>
      <c r="B7" s="16" t="s">
        <v>30</v>
      </c>
      <c r="C7" s="16" t="s">
        <v>26</v>
      </c>
      <c r="D7" s="19">
        <v>0.02</v>
      </c>
    </row>
    <row r="8" spans="1:4">
      <c r="A8" s="17" t="s">
        <v>36</v>
      </c>
      <c r="B8" s="17" t="s">
        <v>37</v>
      </c>
      <c r="C8" s="17" t="s">
        <v>21</v>
      </c>
      <c r="D8" s="18">
        <v>0.32</v>
      </c>
    </row>
    <row r="9" spans="1:4">
      <c r="A9" s="1" t="s">
        <v>38</v>
      </c>
      <c r="B9" s="1" t="s">
        <v>37</v>
      </c>
      <c r="C9" s="1" t="s">
        <v>22</v>
      </c>
      <c r="D9" s="18">
        <v>0.35</v>
      </c>
    </row>
    <row r="10" spans="1:4">
      <c r="A10" s="1" t="s">
        <v>39</v>
      </c>
      <c r="B10" s="1" t="s">
        <v>37</v>
      </c>
      <c r="C10" s="1" t="s">
        <v>23</v>
      </c>
      <c r="D10" s="18">
        <v>0.08</v>
      </c>
    </row>
    <row r="11" spans="1:4">
      <c r="A11" s="1" t="s">
        <v>40</v>
      </c>
      <c r="B11" s="1" t="s">
        <v>37</v>
      </c>
      <c r="C11" s="1" t="s">
        <v>24</v>
      </c>
      <c r="D11" s="18">
        <v>0.05</v>
      </c>
    </row>
    <row r="12" spans="1:4">
      <c r="A12" s="1" t="s">
        <v>41</v>
      </c>
      <c r="B12" s="1" t="s">
        <v>37</v>
      </c>
      <c r="C12" s="1" t="s">
        <v>25</v>
      </c>
      <c r="D12" s="18">
        <v>0.1</v>
      </c>
    </row>
    <row r="13" spans="1:4">
      <c r="A13" s="16" t="s">
        <v>42</v>
      </c>
      <c r="B13" s="16" t="s">
        <v>37</v>
      </c>
      <c r="C13" s="16" t="s">
        <v>26</v>
      </c>
      <c r="D13" s="19">
        <v>0.1</v>
      </c>
    </row>
    <row r="14" spans="1:4">
      <c r="A14" s="17" t="s">
        <v>43</v>
      </c>
      <c r="B14" s="17" t="s">
        <v>16</v>
      </c>
      <c r="C14" s="17" t="s">
        <v>21</v>
      </c>
      <c r="D14" s="18">
        <v>0.2</v>
      </c>
    </row>
    <row r="15" spans="1:4">
      <c r="A15" s="1" t="s">
        <v>44</v>
      </c>
      <c r="B15" s="1" t="s">
        <v>16</v>
      </c>
      <c r="C15" s="1" t="s">
        <v>22</v>
      </c>
      <c r="D15" s="18">
        <v>0.25</v>
      </c>
    </row>
    <row r="16" spans="1:4">
      <c r="A16" s="1" t="s">
        <v>45</v>
      </c>
      <c r="B16" s="1" t="s">
        <v>16</v>
      </c>
      <c r="C16" s="1" t="s">
        <v>23</v>
      </c>
      <c r="D16" s="18">
        <v>0.15</v>
      </c>
    </row>
    <row r="17" spans="1:4">
      <c r="A17" s="1" t="s">
        <v>46</v>
      </c>
      <c r="B17" s="1" t="s">
        <v>16</v>
      </c>
      <c r="C17" s="1" t="s">
        <v>24</v>
      </c>
      <c r="D17" s="18">
        <v>0.1</v>
      </c>
    </row>
    <row r="18" spans="1:4">
      <c r="A18" s="1" t="s">
        <v>47</v>
      </c>
      <c r="B18" s="1" t="s">
        <v>16</v>
      </c>
      <c r="C18" s="1" t="s">
        <v>25</v>
      </c>
      <c r="D18" s="18">
        <v>0.2</v>
      </c>
    </row>
    <row r="19" spans="1:4">
      <c r="A19" s="1" t="s">
        <v>48</v>
      </c>
      <c r="B19" s="1" t="s">
        <v>16</v>
      </c>
      <c r="C19" s="1" t="s">
        <v>26</v>
      </c>
      <c r="D19" s="1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2026-10-18T17:50:10Z</dcterms:created>
  <dcterms:modified xsi:type="dcterms:W3CDTF">2026-10-18T18:45:04Z</dcterms:modified>
  <cp:category/>
  <cp:contentStatus/>
</cp:coreProperties>
</file>